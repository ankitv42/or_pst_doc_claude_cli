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P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16" customWidth="1" min="5" max="5"/>
    <col width="16" customWidth="1" min="6" max="6"/>
    <col width="16" customWidth="1" min="7" max="7"/>
    <col width="12" customWidth="1" min="8" max="8"/>
    <col width="14" customWidth="1" min="9" max="9"/>
    <col width="16" customWidth="1" min="10" max="10"/>
    <col width="22" customWidth="1" min="11" max="11"/>
    <col width="22" customWidth="1" min="12" max="12"/>
    <col width="8" customWidth="1" min="13" max="13"/>
    <col width="8" customWidth="1" min="14" max="14"/>
  </cols>
  <sheetData>
    <row r="1" ht="20" customHeight="1">
      <c r="A1" s="1" t="inlineStr">
        <is>
          <t>pool_id</t>
        </is>
      </c>
      <c r="B1" s="1" t="inlineStr">
        <is>
          <t>pool_name</t>
        </is>
      </c>
      <c r="C1" s="1" t="inlineStr">
        <is>
          <t>pool_type</t>
        </is>
      </c>
      <c r="D1" s="1" t="inlineStr">
        <is>
          <t>total_budget_aed</t>
        </is>
      </c>
      <c r="E1" s="1" t="inlineStr">
        <is>
          <t>allocated_aed</t>
        </is>
      </c>
      <c r="F1" s="1" t="inlineStr">
        <is>
          <t>available_aed</t>
        </is>
      </c>
      <c r="G1" s="1" t="inlineStr">
        <is>
          <t>utilization_pct</t>
        </is>
      </c>
      <c r="H1" s="1" t="inlineStr">
        <is>
          <t>priority_rank</t>
        </is>
      </c>
      <c r="I1" s="1" t="inlineStr">
        <is>
          <t>refresh_cycle</t>
        </is>
      </c>
      <c r="J1" s="1" t="inlineStr">
        <is>
          <t>owner_dept</t>
        </is>
      </c>
      <c r="K1" s="1" t="inlineStr">
        <is>
          <t>approval_threshold_aed</t>
        </is>
      </c>
      <c r="L1" s="1" t="inlineStr">
        <is>
          <t>auto_approve_limit_aed</t>
        </is>
      </c>
      <c r="M1" s="1" t="inlineStr">
        <is>
          <t>quarter</t>
        </is>
      </c>
      <c r="N1" s="1" t="inlineStr">
        <is>
          <t>year</t>
        </is>
      </c>
    </row>
    <row r="2">
      <c r="A2" s="2" t="inlineStr">
        <is>
          <t>CP001</t>
        </is>
      </c>
      <c r="B2" s="2" t="inlineStr">
        <is>
          <t>Core Grocery Replenishment</t>
        </is>
      </c>
      <c r="C2" s="2" t="inlineStr">
        <is>
          <t>Working Capital</t>
        </is>
      </c>
      <c r="D2" s="2" t="n">
        <v>12000000</v>
      </c>
      <c r="E2" s="2" t="n">
        <v>9500000</v>
      </c>
      <c r="F2" s="2">
        <f>D2-E2</f>
        <v/>
      </c>
      <c r="G2" s="2">
        <f>F2/D2*100</f>
        <v/>
      </c>
      <c r="H2" s="2" t="n">
        <v>1</v>
      </c>
      <c r="I2" s="2" t="inlineStr">
        <is>
          <t>Monthly</t>
        </is>
      </c>
      <c r="J2" s="2" t="inlineStr">
        <is>
          <t>Supply Chain</t>
        </is>
      </c>
      <c r="K2" s="2" t="n">
        <v>500000</v>
      </c>
      <c r="L2" s="2" t="n">
        <v>50000</v>
      </c>
      <c r="M2" s="2" t="inlineStr">
        <is>
          <t>Q1</t>
        </is>
      </c>
      <c r="N2" s="2" t="inlineStr">
        <is>
          <t>2025</t>
        </is>
      </c>
    </row>
    <row r="3">
      <c r="A3" s="3" t="inlineStr">
        <is>
          <t>CP002</t>
        </is>
      </c>
      <c r="B3" s="3" t="inlineStr">
        <is>
          <t>Ramadan Surge Buffer</t>
        </is>
      </c>
      <c r="C3" s="3" t="inlineStr">
        <is>
          <t>Seasonal Reserve</t>
        </is>
      </c>
      <c r="D3" s="3" t="n">
        <v>5000000</v>
      </c>
      <c r="E3" s="3" t="n">
        <v>3200000</v>
      </c>
      <c r="F3" s="3">
        <f>D3-E3</f>
        <v/>
      </c>
      <c r="G3" s="3">
        <f>F3/D3*100</f>
        <v/>
      </c>
      <c r="H3" s="3" t="n">
        <v>2</v>
      </c>
      <c r="I3" s="3" t="inlineStr">
        <is>
          <t>Event-Based</t>
        </is>
      </c>
      <c r="J3" s="3" t="inlineStr">
        <is>
          <t>Commercial</t>
        </is>
      </c>
      <c r="K3" s="3" t="n">
        <v>300000</v>
      </c>
      <c r="L3" s="3" t="n">
        <v>30000</v>
      </c>
      <c r="M3" s="3" t="inlineStr">
        <is>
          <t>Q1</t>
        </is>
      </c>
      <c r="N3" s="3" t="inlineStr">
        <is>
          <t>2025</t>
        </is>
      </c>
    </row>
    <row r="4">
      <c r="A4" s="2" t="inlineStr">
        <is>
          <t>CP003</t>
        </is>
      </c>
      <c r="B4" s="2" t="inlineStr">
        <is>
          <t>Expedite &amp; Air Freight</t>
        </is>
      </c>
      <c r="C4" s="2" t="inlineStr">
        <is>
          <t>Logistics Reserve</t>
        </is>
      </c>
      <c r="D4" s="2" t="n">
        <v>2000000</v>
      </c>
      <c r="E4" s="2" t="n">
        <v>800000</v>
      </c>
      <c r="F4" s="2">
        <f>D4-E4</f>
        <v/>
      </c>
      <c r="G4" s="2">
        <f>F4/D4*100</f>
        <v/>
      </c>
      <c r="H4" s="2" t="n">
        <v>3</v>
      </c>
      <c r="I4" s="2" t="inlineStr">
        <is>
          <t>Quarterly</t>
        </is>
      </c>
      <c r="J4" s="2" t="inlineStr">
        <is>
          <t>Logistics</t>
        </is>
      </c>
      <c r="K4" s="2" t="n">
        <v>200000</v>
      </c>
      <c r="L4" s="2" t="n">
        <v>20000</v>
      </c>
      <c r="M4" s="2" t="inlineStr">
        <is>
          <t>Q1</t>
        </is>
      </c>
      <c r="N4" s="2" t="inlineStr">
        <is>
          <t>2025</t>
        </is>
      </c>
    </row>
    <row r="5">
      <c r="A5" s="3" t="inlineStr">
        <is>
          <t>CP004</t>
        </is>
      </c>
      <c r="B5" s="3" t="inlineStr">
        <is>
          <t>Electronics &amp; High-Value</t>
        </is>
      </c>
      <c r="C5" s="3" t="inlineStr">
        <is>
          <t>Category Capital</t>
        </is>
      </c>
      <c r="D5" s="3" t="n">
        <v>8000000</v>
      </c>
      <c r="E5" s="3" t="n">
        <v>6100000</v>
      </c>
      <c r="F5" s="3">
        <f>D5-E5</f>
        <v/>
      </c>
      <c r="G5" s="3">
        <f>F5/D5*100</f>
        <v/>
      </c>
      <c r="H5" s="3" t="n">
        <v>2</v>
      </c>
      <c r="I5" s="3" t="inlineStr">
        <is>
          <t>Monthly</t>
        </is>
      </c>
      <c r="J5" s="3" t="inlineStr">
        <is>
          <t>Buying</t>
        </is>
      </c>
      <c r="K5" s="3" t="n">
        <v>400000</v>
      </c>
      <c r="L5" s="3" t="n">
        <v>40000</v>
      </c>
      <c r="M5" s="3" t="inlineStr">
        <is>
          <t>Q1</t>
        </is>
      </c>
      <c r="N5" s="3" t="inlineStr">
        <is>
          <t>2025</t>
        </is>
      </c>
    </row>
    <row r="6">
      <c r="A6" s="2" t="inlineStr">
        <is>
          <t>CP005</t>
        </is>
      </c>
      <c r="B6" s="2" t="inlineStr">
        <is>
          <t>Seasonal &amp; Events</t>
        </is>
      </c>
      <c r="C6" s="2" t="inlineStr">
        <is>
          <t>Category Capital</t>
        </is>
      </c>
      <c r="D6" s="2" t="n">
        <v>3000000</v>
      </c>
      <c r="E6" s="2" t="n">
        <v>1800000</v>
      </c>
      <c r="F6" s="2">
        <f>D6-E6</f>
        <v/>
      </c>
      <c r="G6" s="2">
        <f>F6/D6*100</f>
        <v/>
      </c>
      <c r="H6" s="2" t="n">
        <v>3</v>
      </c>
      <c r="I6" s="2" t="inlineStr">
        <is>
          <t>Event-Based</t>
        </is>
      </c>
      <c r="J6" s="2" t="inlineStr">
        <is>
          <t>Commercial</t>
        </is>
      </c>
      <c r="K6" s="2" t="n">
        <v>250000</v>
      </c>
      <c r="L6" s="2" t="n">
        <v>25000</v>
      </c>
      <c r="M6" s="2" t="inlineStr">
        <is>
          <t>Q1</t>
        </is>
      </c>
      <c r="N6" s="2" t="inlineStr">
        <is>
          <t>2025</t>
        </is>
      </c>
    </row>
    <row r="7">
      <c r="A7" s="3" t="inlineStr">
        <is>
          <t>CP006</t>
        </is>
      </c>
      <c r="B7" s="3" t="inlineStr">
        <is>
          <t>Store Transfer Reserve</t>
        </is>
      </c>
      <c r="C7" s="3" t="inlineStr">
        <is>
          <t>Transfer Budget</t>
        </is>
      </c>
      <c r="D7" s="3" t="n">
        <v>1500000</v>
      </c>
      <c r="E7" s="3" t="n">
        <v>400000</v>
      </c>
      <c r="F7" s="3">
        <f>D7-E7</f>
        <v/>
      </c>
      <c r="G7" s="3">
        <f>F7/D7*100</f>
        <v/>
      </c>
      <c r="H7" s="3" t="n">
        <v>4</v>
      </c>
      <c r="I7" s="3" t="inlineStr">
        <is>
          <t>Monthly</t>
        </is>
      </c>
      <c r="J7" s="3" t="inlineStr">
        <is>
          <t>Operations</t>
        </is>
      </c>
      <c r="K7" s="3" t="n">
        <v>100000</v>
      </c>
      <c r="L7" s="3" t="n">
        <v>10000</v>
      </c>
      <c r="M7" s="3" t="inlineStr">
        <is>
          <t>Q1</t>
        </is>
      </c>
      <c r="N7" s="3" t="inlineStr">
        <is>
          <t>2025</t>
        </is>
      </c>
    </row>
    <row r="8">
      <c r="A8" s="2" t="inlineStr">
        <is>
          <t>CP007</t>
        </is>
      </c>
      <c r="B8" s="2" t="inlineStr">
        <is>
          <t>Emergency Contingency</t>
        </is>
      </c>
      <c r="C8" s="2" t="inlineStr">
        <is>
          <t>Reserve Fund</t>
        </is>
      </c>
      <c r="D8" s="2" t="n">
        <v>2500000</v>
      </c>
      <c r="E8" s="2" t="n">
        <v>0</v>
      </c>
      <c r="F8" s="2">
        <f>D8-E8</f>
        <v/>
      </c>
      <c r="G8" s="2">
        <f>F8/D8*100</f>
        <v/>
      </c>
      <c r="H8" s="2" t="n">
        <v>1</v>
      </c>
      <c r="I8" s="2" t="inlineStr">
        <is>
          <t>Annual</t>
        </is>
      </c>
      <c r="J8" s="2" t="inlineStr">
        <is>
          <t>Finance</t>
        </is>
      </c>
      <c r="K8" s="2" t="n">
        <v>1000000</v>
      </c>
      <c r="L8" s="2" t="n">
        <v>100000</v>
      </c>
      <c r="M8" s="2" t="inlineStr">
        <is>
          <t>Q1</t>
        </is>
      </c>
      <c r="N8" s="2" t="inlineStr">
        <is>
          <t>2025</t>
        </is>
      </c>
    </row>
    <row r="9">
      <c r="A9" s="3" t="inlineStr">
        <is>
          <t>CP008</t>
        </is>
      </c>
      <c r="B9" s="3" t="inlineStr">
        <is>
          <t>Dairy &amp; Perishables</t>
        </is>
      </c>
      <c r="C9" s="3" t="inlineStr">
        <is>
          <t>Working Capital</t>
        </is>
      </c>
      <c r="D9" s="3" t="n">
        <v>4000000</v>
      </c>
      <c r="E9" s="3" t="n">
        <v>3100000</v>
      </c>
      <c r="F9" s="3">
        <f>D9-E9</f>
        <v/>
      </c>
      <c r="G9" s="3">
        <f>F9/D9*100</f>
        <v/>
      </c>
      <c r="H9" s="3" t="n">
        <v>1</v>
      </c>
      <c r="I9" s="3" t="inlineStr">
        <is>
          <t>Weekly</t>
        </is>
      </c>
      <c r="J9" s="3" t="inlineStr">
        <is>
          <t>Supply Chain</t>
        </is>
      </c>
      <c r="K9" s="3" t="n">
        <v>200000</v>
      </c>
      <c r="L9" s="3" t="n">
        <v>20000</v>
      </c>
      <c r="M9" s="3" t="inlineStr">
        <is>
          <t>Q1</t>
        </is>
      </c>
      <c r="N9" s="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2026-03-06T13:37:45Z</dcterms:created>
  <dcterms:modified xmlns:dcterms="http://purl.org/dc/terms/" xmlns:xsi="http://www.w3.org/2001/XMLSchema-instance" xsi:type="dcterms:W3CDTF">2026-03-06T13:37:45Z</dcterms:modified>
</cp:coreProperties>
</file>